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 Price_" sheetId="1" r:id="rId4"/>
    <sheet state="visible" name="List Price" sheetId="2" r:id="rId5"/>
    <sheet state="visible" name="COGS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g6lyrJL8VpYo6sInT4jzYyxZDFJsrmxOsDO2xjXuinU="/>
    </ext>
  </extLst>
</workbook>
</file>

<file path=xl/sharedStrings.xml><?xml version="1.0" encoding="utf-8"?>
<sst xmlns="http://schemas.openxmlformats.org/spreadsheetml/2006/main" count="276" uniqueCount="77">
  <si>
    <t>Retailer</t>
  </si>
  <si>
    <t>PPG</t>
  </si>
  <si>
    <t>Retailer Margin</t>
  </si>
  <si>
    <t>Key</t>
  </si>
  <si>
    <t>Avg Price</t>
  </si>
  <si>
    <t>List Price</t>
  </si>
  <si>
    <t>Retailer 0</t>
  </si>
  <si>
    <t>Brand 5_Promo.Group 0_APN 239</t>
  </si>
  <si>
    <t>Brand 4_Promo.Group 0_APN 364</t>
  </si>
  <si>
    <t>Brand 4_Promo.Group 0_APN 423</t>
  </si>
  <si>
    <t>Retailer 1</t>
  </si>
  <si>
    <t>Brand 4_Promo.Group 17_APN 411</t>
  </si>
  <si>
    <t>Brand 4_Promo.Group 17_APN 426</t>
  </si>
  <si>
    <t>Brand 4_Promo.Group 19_APN 376</t>
  </si>
  <si>
    <t>Brand 1_Promo.Group 20_APN 164</t>
  </si>
  <si>
    <t>Brand 1_Promo.Group 20_APN 167</t>
  </si>
  <si>
    <t>Brand 1_Promo.Group 20_APN 173</t>
  </si>
  <si>
    <t>Brand 1_Promo.Group 20_APN 175</t>
  </si>
  <si>
    <t>Brand 1_Promo.Group 20_APN 184</t>
  </si>
  <si>
    <t>Brand 1_Promo.Group 22_APN 171</t>
  </si>
  <si>
    <t>Brand 5_Promo.Group 23_APN 195</t>
  </si>
  <si>
    <t>Brand 5_Promo.Group 23_APN 223</t>
  </si>
  <si>
    <t>Brand 4_Promo.Group 3_APN 141</t>
  </si>
  <si>
    <t>Brand 4_Promo.Group 3_APN 147</t>
  </si>
  <si>
    <t>Brand 4_Promo.Group 3_APN 151</t>
  </si>
  <si>
    <t>Brand 4_Promo.Group 3_APN 154</t>
  </si>
  <si>
    <t>Brand 4_Promo.Group 3_APN 369</t>
  </si>
  <si>
    <t>Brand 4_Promo.Group 3_APN 370</t>
  </si>
  <si>
    <t>Brand 4_Promo.Group 3_APN 377</t>
  </si>
  <si>
    <t>Brand 4_Promo.Group 3_APN 418</t>
  </si>
  <si>
    <t>Brand 5_Promo.Group 4_APN 190</t>
  </si>
  <si>
    <t>Brand 5_Promo.Group 5_APN 12</t>
  </si>
  <si>
    <t>Brand 5_Promo.Group 5_APN 217</t>
  </si>
  <si>
    <t>Brand 5_Promo.Group 5_APN 230</t>
  </si>
  <si>
    <t>Brand 5_Promo.Group 6_APN 13</t>
  </si>
  <si>
    <t>Brand 5_Promo.Group 6_APN 14</t>
  </si>
  <si>
    <t>Brand 5_Promo.Group 6_APN 15</t>
  </si>
  <si>
    <t>Brand 5_Promo.Group 6_APN 16</t>
  </si>
  <si>
    <t>Brand 5_Promo.Group 6_APN 185</t>
  </si>
  <si>
    <t>Brand 5_Promo.Group 6_APN 189</t>
  </si>
  <si>
    <t>Brand 5_Promo.Group 6_APN 192</t>
  </si>
  <si>
    <t>Brand 5_Promo.Group 6_APN 194</t>
  </si>
  <si>
    <t>Brand 5_Promo.Group 6_APN 196</t>
  </si>
  <si>
    <t>Brand 5_Promo.Group 6_APN 197</t>
  </si>
  <si>
    <t>Brand 5_Promo.Group 6_APN 198</t>
  </si>
  <si>
    <t>Brand 5_Promo.Group 6_APN 199</t>
  </si>
  <si>
    <t>Brand 5_Promo.Group 6_APN 203</t>
  </si>
  <si>
    <t>Brand 5_Promo.Group 6_APN 204</t>
  </si>
  <si>
    <t>Brand 5_Promo.Group 6_APN 205</t>
  </si>
  <si>
    <t>Brand 5_Promo.Group 6_APN 208</t>
  </si>
  <si>
    <t>Brand 5_Promo.Group 6_APN 210</t>
  </si>
  <si>
    <t>Brand 5_Promo.Group 6_APN 215</t>
  </si>
  <si>
    <t>Brand 5_Promo.Group 6_APN 216</t>
  </si>
  <si>
    <t>Brand 5_Promo.Group 6_APN 219</t>
  </si>
  <si>
    <t>Brand 5_Promo.Group 6_APN 220</t>
  </si>
  <si>
    <t>Brand 5_Promo.Group 6_APN 222</t>
  </si>
  <si>
    <t>Brand 5_Promo.Group 6_APN 224</t>
  </si>
  <si>
    <t>Brand 5_Promo.Group 6_APN 225</t>
  </si>
  <si>
    <t>Brand 5_Promo.Group 6_APN 229</t>
  </si>
  <si>
    <t>Brand 5_Promo.Group 6_APN 231</t>
  </si>
  <si>
    <t>Brand 5_Promo.Group 6_APN 232</t>
  </si>
  <si>
    <t>Brand 5_Promo.Group 6_APN 233</t>
  </si>
  <si>
    <t>Brand 5_Promo.Group 6_APN 234</t>
  </si>
  <si>
    <t>Brand 5_Promo.Group 6_APN 235</t>
  </si>
  <si>
    <t>Brand 5_Promo.Group 6_APN 236</t>
  </si>
  <si>
    <t>Brand 5_Promo.Group 5</t>
  </si>
  <si>
    <t>Brand 5_Promo.Group 6</t>
  </si>
  <si>
    <t>Brand 1_Promo.Group 20</t>
  </si>
  <si>
    <t>Brand 4_Promo.Group 3</t>
  </si>
  <si>
    <t>Brand 5_Promo.Group 0</t>
  </si>
  <si>
    <t>Brand 5_Promo.Group 23</t>
  </si>
  <si>
    <t>Brand 5_Promo.Group 4</t>
  </si>
  <si>
    <t>Brand 4_Promo.Group 0</t>
  </si>
  <si>
    <t>Brand 4_Promo.Group 19</t>
  </si>
  <si>
    <t>Brand 4_Promo.Group 17</t>
  </si>
  <si>
    <t>Brand 1_Promo.Group 22</t>
  </si>
  <si>
    <t>COGS_PCT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</si>
</sst>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ales%20_%20V1.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ales "/>
      <sheetName val="Sales"/>
    </sheetNames>
    <sheetDataSet>
      <sheetData sheetId="0" refreshError="1"/>
      <sheetData sheetId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8.88"/>
    <col customWidth="1" min="3" max="3" width="13.0"/>
    <col customWidth="1" min="4" max="4" width="36.63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>
        <v>0.39</v>
      </c>
      <c r="D2" s="1" t="str">
        <f t="shared" ref="D2:D108" si="1">CONCATENATE(A2,B2)</f>
        <v>Retailer 0Brand 5_Promo.Group 0_APN 239</v>
      </c>
      <c r="E2" s="1" t="str">
        <f>IFERROR(VLOOKUP(D2,[1]Sales!$E$4:$F$203,2,FALSE),0)</f>
        <v>#ERROR!</v>
      </c>
      <c r="F2" s="1">
        <v>1.83</v>
      </c>
    </row>
    <row r="3" ht="14.25" customHeight="1">
      <c r="A3" s="1" t="s">
        <v>6</v>
      </c>
      <c r="B3" s="1" t="s">
        <v>8</v>
      </c>
      <c r="C3" s="1">
        <v>0.28</v>
      </c>
      <c r="D3" s="1" t="str">
        <f t="shared" si="1"/>
        <v>Retailer 0Brand 4_Promo.Group 0_APN 364</v>
      </c>
      <c r="E3" s="1" t="str">
        <f>IFERROR(VLOOKUP(D3,[1]Sales!$E$4:$F$203,2,FALSE),0)</f>
        <v>#ERROR!</v>
      </c>
      <c r="F3" s="1">
        <v>2.16</v>
      </c>
    </row>
    <row r="4" ht="14.25" customHeight="1">
      <c r="A4" s="1" t="s">
        <v>6</v>
      </c>
      <c r="B4" s="1" t="s">
        <v>9</v>
      </c>
      <c r="C4" s="1">
        <v>0.48</v>
      </c>
      <c r="D4" s="1" t="str">
        <f t="shared" si="1"/>
        <v>Retailer 0Brand 4_Promo.Group 0_APN 423</v>
      </c>
      <c r="E4" s="1" t="str">
        <f>IFERROR(VLOOKUP(D4,[1]Sales!$E$4:$F$203,2,FALSE),0)</f>
        <v>#ERROR!</v>
      </c>
      <c r="F4" s="1">
        <v>1.56</v>
      </c>
    </row>
    <row r="5" ht="14.25" customHeight="1">
      <c r="A5" s="1" t="s">
        <v>10</v>
      </c>
      <c r="B5" s="1" t="s">
        <v>9</v>
      </c>
      <c r="C5" s="1">
        <v>0.2</v>
      </c>
      <c r="D5" s="1" t="str">
        <f t="shared" si="1"/>
        <v>Retailer 1Brand 4_Promo.Group 0_APN 423</v>
      </c>
      <c r="E5" s="1" t="str">
        <f>IFERROR(VLOOKUP(D5,[1]Sales!$E$4:$F$203,2,FALSE),0)</f>
        <v>#ERROR!</v>
      </c>
      <c r="F5" s="1">
        <v>2.4000000000000004</v>
      </c>
    </row>
    <row r="6" ht="14.25" customHeight="1">
      <c r="A6" s="1" t="s">
        <v>6</v>
      </c>
      <c r="B6" s="1" t="s">
        <v>11</v>
      </c>
      <c r="C6" s="1">
        <v>0.2</v>
      </c>
      <c r="D6" s="1" t="str">
        <f t="shared" si="1"/>
        <v>Retailer 0Brand 4_Promo.Group 17_APN 411</v>
      </c>
      <c r="E6" s="1" t="str">
        <f>IFERROR(VLOOKUP(D6,[1]Sales!$E$4:$F$203,2,FALSE),0)</f>
        <v>#ERROR!</v>
      </c>
      <c r="F6" s="1">
        <v>4.0</v>
      </c>
    </row>
    <row r="7" ht="14.25" customHeight="1">
      <c r="A7" s="1" t="s">
        <v>10</v>
      </c>
      <c r="B7" s="1" t="s">
        <v>11</v>
      </c>
      <c r="C7" s="1">
        <v>0.25</v>
      </c>
      <c r="D7" s="1" t="str">
        <f t="shared" si="1"/>
        <v>Retailer 1Brand 4_Promo.Group 17_APN 411</v>
      </c>
      <c r="E7" s="1" t="str">
        <f>IFERROR(VLOOKUP(D7,[1]Sales!$E$4:$F$203,2,FALSE),0)</f>
        <v>#ERROR!</v>
      </c>
      <c r="F7" s="1">
        <v>3.75</v>
      </c>
    </row>
    <row r="8" ht="14.25" customHeight="1">
      <c r="A8" s="1" t="s">
        <v>6</v>
      </c>
      <c r="B8" s="1" t="s">
        <v>12</v>
      </c>
      <c r="C8" s="1">
        <v>0.42</v>
      </c>
      <c r="D8" s="1" t="str">
        <f t="shared" si="1"/>
        <v>Retailer 0Brand 4_Promo.Group 17_APN 426</v>
      </c>
      <c r="E8" s="1" t="str">
        <f>IFERROR(VLOOKUP(D8,[1]Sales!$E$4:$F$203,2,FALSE),0)</f>
        <v>#ERROR!</v>
      </c>
      <c r="F8" s="1">
        <v>2.9000000000000004</v>
      </c>
    </row>
    <row r="9" ht="14.25" customHeight="1">
      <c r="A9" s="1" t="s">
        <v>10</v>
      </c>
      <c r="B9" s="1" t="s">
        <v>12</v>
      </c>
      <c r="C9" s="1">
        <v>0.46</v>
      </c>
      <c r="D9" s="1" t="str">
        <f t="shared" si="1"/>
        <v>Retailer 1Brand 4_Promo.Group 17_APN 426</v>
      </c>
      <c r="E9" s="1" t="str">
        <f>IFERROR(VLOOKUP(D9,[1]Sales!$E$4:$F$203,2,FALSE),0)</f>
        <v>#ERROR!</v>
      </c>
      <c r="F9" s="1">
        <v>2.7</v>
      </c>
    </row>
    <row r="10" ht="14.25" customHeight="1">
      <c r="A10" s="1" t="s">
        <v>6</v>
      </c>
      <c r="B10" s="1" t="s">
        <v>13</v>
      </c>
      <c r="C10" s="1">
        <v>0.24</v>
      </c>
      <c r="D10" s="1" t="str">
        <f t="shared" si="1"/>
        <v>Retailer 0Brand 4_Promo.Group 19_APN 376</v>
      </c>
      <c r="E10" s="1" t="str">
        <f>IFERROR(VLOOKUP(D10,[1]Sales!$E$4:$F$203,2,FALSE),0)</f>
        <v>#ERROR!</v>
      </c>
      <c r="F10" s="1">
        <v>3.8</v>
      </c>
    </row>
    <row r="11" ht="14.25" customHeight="1">
      <c r="A11" s="1" t="s">
        <v>10</v>
      </c>
      <c r="B11" s="1" t="s">
        <v>13</v>
      </c>
      <c r="C11" s="1">
        <v>0.31</v>
      </c>
      <c r="D11" s="1" t="str">
        <f t="shared" si="1"/>
        <v>Retailer 1Brand 4_Promo.Group 19_APN 376</v>
      </c>
      <c r="E11" s="1" t="str">
        <f>IFERROR(VLOOKUP(D11,[1]Sales!$E$4:$F$203,2,FALSE),0)</f>
        <v>#ERROR!</v>
      </c>
      <c r="F11" s="1">
        <v>3.4499999999999997</v>
      </c>
    </row>
    <row r="12" ht="14.25" customHeight="1">
      <c r="A12" s="1" t="s">
        <v>6</v>
      </c>
      <c r="B12" s="1" t="s">
        <v>14</v>
      </c>
      <c r="C12" s="1">
        <v>0.38</v>
      </c>
      <c r="D12" s="1" t="str">
        <f t="shared" si="1"/>
        <v>Retailer 0Brand 1_Promo.Group 20_APN 164</v>
      </c>
      <c r="E12" s="1" t="str">
        <f>IFERROR(VLOOKUP(D12,[1]Sales!$E$4:$F$203,2,FALSE),0)</f>
        <v>#ERROR!</v>
      </c>
      <c r="F12" s="1">
        <v>1.8599999999999999</v>
      </c>
    </row>
    <row r="13" ht="14.25" customHeight="1">
      <c r="A13" s="1" t="s">
        <v>10</v>
      </c>
      <c r="B13" s="1" t="s">
        <v>14</v>
      </c>
      <c r="C13" s="1">
        <v>0.28</v>
      </c>
      <c r="D13" s="1" t="str">
        <f t="shared" si="1"/>
        <v>Retailer 1Brand 1_Promo.Group 20_APN 164</v>
      </c>
      <c r="E13" s="1" t="str">
        <f>IFERROR(VLOOKUP(D13,[1]Sales!$E$4:$F$203,2,FALSE),0)</f>
        <v>#ERROR!</v>
      </c>
      <c r="F13" s="1">
        <v>2.16</v>
      </c>
    </row>
    <row r="14" ht="14.25" customHeight="1">
      <c r="A14" s="1" t="s">
        <v>6</v>
      </c>
      <c r="B14" s="1" t="s">
        <v>15</v>
      </c>
      <c r="C14" s="1">
        <v>0.41</v>
      </c>
      <c r="D14" s="1" t="str">
        <f t="shared" si="1"/>
        <v>Retailer 0Brand 1_Promo.Group 20_APN 167</v>
      </c>
      <c r="E14" s="1" t="str">
        <f>IFERROR(VLOOKUP(D14,[1]Sales!$E$4:$F$203,2,FALSE),0)</f>
        <v>#ERROR!</v>
      </c>
      <c r="F14" s="1">
        <v>1.7700000000000002</v>
      </c>
    </row>
    <row r="15" ht="14.25" customHeight="1">
      <c r="A15" s="1" t="s">
        <v>10</v>
      </c>
      <c r="B15" s="1" t="s">
        <v>15</v>
      </c>
      <c r="C15" s="1">
        <v>0.3</v>
      </c>
      <c r="D15" s="1" t="str">
        <f t="shared" si="1"/>
        <v>Retailer 1Brand 1_Promo.Group 20_APN 167</v>
      </c>
      <c r="E15" s="1" t="str">
        <f>IFERROR(VLOOKUP(D15,[1]Sales!$E$4:$F$203,2,FALSE),0)</f>
        <v>#ERROR!</v>
      </c>
      <c r="F15" s="1">
        <v>2.0999999999999996</v>
      </c>
    </row>
    <row r="16" ht="14.25" customHeight="1">
      <c r="A16" s="1" t="s">
        <v>10</v>
      </c>
      <c r="B16" s="1" t="s">
        <v>16</v>
      </c>
      <c r="C16" s="1">
        <v>0.34</v>
      </c>
      <c r="D16" s="1" t="str">
        <f t="shared" si="1"/>
        <v>Retailer 1Brand 1_Promo.Group 20_APN 173</v>
      </c>
      <c r="E16" s="1" t="str">
        <f>IFERROR(VLOOKUP(D16,[1]Sales!$E$4:$F$203,2,FALSE),0)</f>
        <v>#ERROR!</v>
      </c>
      <c r="F16" s="1">
        <v>1.9799999999999998</v>
      </c>
    </row>
    <row r="17" ht="14.25" customHeight="1">
      <c r="A17" s="1" t="s">
        <v>6</v>
      </c>
      <c r="B17" s="1" t="s">
        <v>17</v>
      </c>
      <c r="C17" s="1">
        <v>0.49</v>
      </c>
      <c r="D17" s="1" t="str">
        <f t="shared" si="1"/>
        <v>Retailer 0Brand 1_Promo.Group 20_APN 175</v>
      </c>
      <c r="E17" s="1" t="str">
        <f>IFERROR(VLOOKUP(D17,[1]Sales!$E$4:$F$203,2,FALSE),0)</f>
        <v>#ERROR!</v>
      </c>
      <c r="F17" s="1">
        <v>1.53</v>
      </c>
    </row>
    <row r="18" ht="14.25" customHeight="1">
      <c r="A18" s="1" t="s">
        <v>10</v>
      </c>
      <c r="B18" s="1" t="s">
        <v>17</v>
      </c>
      <c r="C18" s="1">
        <v>0.45</v>
      </c>
      <c r="D18" s="1" t="str">
        <f t="shared" si="1"/>
        <v>Retailer 1Brand 1_Promo.Group 20_APN 175</v>
      </c>
      <c r="E18" s="1" t="str">
        <f>IFERROR(VLOOKUP(D18,[1]Sales!$E$4:$F$203,2,FALSE),0)</f>
        <v>#ERROR!</v>
      </c>
      <c r="F18" s="1">
        <v>1.6500000000000001</v>
      </c>
    </row>
    <row r="19" ht="14.25" customHeight="1">
      <c r="A19" s="1" t="s">
        <v>6</v>
      </c>
      <c r="B19" s="1" t="s">
        <v>18</v>
      </c>
      <c r="C19" s="1">
        <v>0.28</v>
      </c>
      <c r="D19" s="1" t="str">
        <f t="shared" si="1"/>
        <v>Retailer 0Brand 1_Promo.Group 20_APN 184</v>
      </c>
      <c r="E19" s="1" t="str">
        <f>IFERROR(VLOOKUP(D19,[1]Sales!$E$4:$F$203,2,FALSE),0)</f>
        <v>#ERROR!</v>
      </c>
      <c r="F19" s="1">
        <v>2.16</v>
      </c>
    </row>
    <row r="20" ht="14.25" customHeight="1">
      <c r="A20" s="1" t="s">
        <v>10</v>
      </c>
      <c r="B20" s="1" t="s">
        <v>18</v>
      </c>
      <c r="C20" s="1">
        <v>0.24</v>
      </c>
      <c r="D20" s="1" t="str">
        <f t="shared" si="1"/>
        <v>Retailer 1Brand 1_Promo.Group 20_APN 184</v>
      </c>
      <c r="E20" s="1" t="str">
        <f>IFERROR(VLOOKUP(D20,[1]Sales!$E$4:$F$203,2,FALSE),0)</f>
        <v>#ERROR!</v>
      </c>
      <c r="F20" s="1">
        <v>2.2800000000000002</v>
      </c>
    </row>
    <row r="21" ht="14.25" customHeight="1">
      <c r="A21" s="1" t="s">
        <v>10</v>
      </c>
      <c r="B21" s="1" t="s">
        <v>19</v>
      </c>
      <c r="C21" s="1">
        <v>0.25</v>
      </c>
      <c r="D21" s="1" t="str">
        <f t="shared" si="1"/>
        <v>Retailer 1Brand 1_Promo.Group 22_APN 171</v>
      </c>
      <c r="E21" s="1" t="str">
        <f>IFERROR(VLOOKUP(D21,[1]Sales!$E$4:$F$203,2,FALSE),0)</f>
        <v>#ERROR!</v>
      </c>
      <c r="F21" s="1">
        <v>3.75</v>
      </c>
    </row>
    <row r="22" ht="14.25" customHeight="1">
      <c r="A22" s="1" t="s">
        <v>10</v>
      </c>
      <c r="B22" s="1" t="s">
        <v>20</v>
      </c>
      <c r="C22" s="1">
        <v>0.35</v>
      </c>
      <c r="D22" s="1" t="str">
        <f t="shared" si="1"/>
        <v>Retailer 1Brand 5_Promo.Group 23_APN 195</v>
      </c>
      <c r="E22" s="1" t="str">
        <f>IFERROR(VLOOKUP(D22,[1]Sales!$E$4:$F$203,2,FALSE),0)</f>
        <v>#ERROR!</v>
      </c>
      <c r="F22" s="1">
        <v>3.25</v>
      </c>
    </row>
    <row r="23" ht="14.25" customHeight="1">
      <c r="A23" s="1" t="s">
        <v>6</v>
      </c>
      <c r="B23" s="1" t="s">
        <v>21</v>
      </c>
      <c r="C23" s="1">
        <v>0.29</v>
      </c>
      <c r="D23" s="1" t="str">
        <f t="shared" si="1"/>
        <v>Retailer 0Brand 5_Promo.Group 23_APN 223</v>
      </c>
      <c r="E23" s="1" t="str">
        <f>IFERROR(VLOOKUP(D23,[1]Sales!$E$4:$F$203,2,FALSE),0)</f>
        <v>#ERROR!</v>
      </c>
      <c r="F23" s="1">
        <v>3.55</v>
      </c>
    </row>
    <row r="24" ht="14.25" customHeight="1">
      <c r="A24" s="1" t="s">
        <v>10</v>
      </c>
      <c r="B24" s="1" t="s">
        <v>21</v>
      </c>
      <c r="C24" s="1">
        <v>0.31</v>
      </c>
      <c r="D24" s="1" t="str">
        <f t="shared" si="1"/>
        <v>Retailer 1Brand 5_Promo.Group 23_APN 223</v>
      </c>
      <c r="E24" s="1" t="str">
        <f>IFERROR(VLOOKUP(D24,[1]Sales!$E$4:$F$203,2,FALSE),0)</f>
        <v>#ERROR!</v>
      </c>
      <c r="F24" s="1">
        <v>3.4499999999999997</v>
      </c>
    </row>
    <row r="25" ht="14.25" customHeight="1">
      <c r="A25" s="1" t="s">
        <v>6</v>
      </c>
      <c r="B25" s="1" t="s">
        <v>22</v>
      </c>
      <c r="C25" s="1">
        <v>0.36</v>
      </c>
      <c r="D25" s="1" t="str">
        <f t="shared" si="1"/>
        <v>Retailer 0Brand 4_Promo.Group 3_APN 141</v>
      </c>
      <c r="E25" s="1" t="str">
        <f>IFERROR(VLOOKUP(D25,[1]Sales!$E$4:$F$203,2,FALSE),0)</f>
        <v>#ERROR!</v>
      </c>
      <c r="F25" s="1">
        <v>1.92</v>
      </c>
    </row>
    <row r="26" ht="14.25" customHeight="1">
      <c r="A26" s="1" t="s">
        <v>10</v>
      </c>
      <c r="B26" s="1" t="s">
        <v>22</v>
      </c>
      <c r="C26" s="1">
        <v>0.27</v>
      </c>
      <c r="D26" s="1" t="str">
        <f t="shared" si="1"/>
        <v>Retailer 1Brand 4_Promo.Group 3_APN 141</v>
      </c>
      <c r="E26" s="1" t="str">
        <f>IFERROR(VLOOKUP(D26,[1]Sales!$E$4:$F$203,2,FALSE),0)</f>
        <v>#ERROR!</v>
      </c>
      <c r="F26" s="1">
        <v>2.19</v>
      </c>
    </row>
    <row r="27" ht="14.25" customHeight="1">
      <c r="A27" s="1" t="s">
        <v>6</v>
      </c>
      <c r="B27" s="1" t="s">
        <v>23</v>
      </c>
      <c r="C27" s="1">
        <v>0.28</v>
      </c>
      <c r="D27" s="1" t="str">
        <f t="shared" si="1"/>
        <v>Retailer 0Brand 4_Promo.Group 3_APN 147</v>
      </c>
      <c r="E27" s="1" t="str">
        <f>IFERROR(VLOOKUP(D27,[1]Sales!$E$4:$F$203,2,FALSE),0)</f>
        <v>#ERROR!</v>
      </c>
      <c r="F27" s="1">
        <v>4.32</v>
      </c>
    </row>
    <row r="28" ht="14.25" customHeight="1">
      <c r="A28" s="1" t="s">
        <v>10</v>
      </c>
      <c r="B28" s="1" t="s">
        <v>23</v>
      </c>
      <c r="C28" s="1">
        <v>0.23</v>
      </c>
      <c r="D28" s="1" t="str">
        <f t="shared" si="1"/>
        <v>Retailer 1Brand 4_Promo.Group 3_APN 147</v>
      </c>
      <c r="E28" s="1" t="str">
        <f>IFERROR(VLOOKUP(D28,[1]Sales!$E$4:$F$203,2,FALSE),0)</f>
        <v>#ERROR!</v>
      </c>
      <c r="F28" s="1">
        <v>0.0</v>
      </c>
    </row>
    <row r="29" ht="14.25" customHeight="1">
      <c r="A29" s="1" t="s">
        <v>6</v>
      </c>
      <c r="B29" s="1" t="s">
        <v>24</v>
      </c>
      <c r="C29" s="1">
        <v>0.34</v>
      </c>
      <c r="D29" s="1" t="str">
        <f t="shared" si="1"/>
        <v>Retailer 0Brand 4_Promo.Group 3_APN 151</v>
      </c>
      <c r="E29" s="1" t="str">
        <f>IFERROR(VLOOKUP(D29,[1]Sales!$E$4:$F$203,2,FALSE),0)</f>
        <v>#ERROR!</v>
      </c>
      <c r="F29" s="1">
        <v>1.9799999999999998</v>
      </c>
    </row>
    <row r="30" ht="14.25" customHeight="1">
      <c r="A30" s="1" t="s">
        <v>6</v>
      </c>
      <c r="B30" s="1" t="s">
        <v>25</v>
      </c>
      <c r="C30" s="1">
        <v>0.22</v>
      </c>
      <c r="D30" s="1" t="str">
        <f t="shared" si="1"/>
        <v>Retailer 0Brand 4_Promo.Group 3_APN 154</v>
      </c>
      <c r="E30" s="1" t="str">
        <f>IFERROR(VLOOKUP(D30,[1]Sales!$E$4:$F$203,2,FALSE),0)</f>
        <v>#ERROR!</v>
      </c>
      <c r="F30" s="1">
        <v>2.34</v>
      </c>
    </row>
    <row r="31" ht="14.25" customHeight="1">
      <c r="A31" s="1" t="s">
        <v>6</v>
      </c>
      <c r="B31" s="1" t="s">
        <v>26</v>
      </c>
      <c r="C31" s="1">
        <v>0.23</v>
      </c>
      <c r="D31" s="1" t="str">
        <f t="shared" si="1"/>
        <v>Retailer 0Brand 4_Promo.Group 3_APN 369</v>
      </c>
      <c r="E31" s="1" t="str">
        <f>IFERROR(VLOOKUP(D31,[1]Sales!$E$4:$F$203,2,FALSE),0)</f>
        <v>#ERROR!</v>
      </c>
      <c r="F31" s="1">
        <v>2.31</v>
      </c>
    </row>
    <row r="32" ht="14.25" customHeight="1">
      <c r="A32" s="1" t="s">
        <v>10</v>
      </c>
      <c r="B32" s="1" t="s">
        <v>26</v>
      </c>
      <c r="C32" s="1">
        <v>0.4</v>
      </c>
      <c r="D32" s="1" t="str">
        <f t="shared" si="1"/>
        <v>Retailer 1Brand 4_Promo.Group 3_APN 369</v>
      </c>
      <c r="E32" s="1" t="str">
        <f>IFERROR(VLOOKUP(D32,[1]Sales!$E$4:$F$203,2,FALSE),0)</f>
        <v>#ERROR!</v>
      </c>
      <c r="F32" s="1">
        <v>1.2</v>
      </c>
    </row>
    <row r="33" ht="14.25" customHeight="1">
      <c r="A33" s="1" t="s">
        <v>6</v>
      </c>
      <c r="B33" s="1" t="s">
        <v>27</v>
      </c>
      <c r="C33" s="1">
        <v>0.26</v>
      </c>
      <c r="D33" s="1" t="str">
        <f t="shared" si="1"/>
        <v>Retailer 0Brand 4_Promo.Group 3_APN 370</v>
      </c>
      <c r="E33" s="1" t="str">
        <f>IFERROR(VLOOKUP(D33,[1]Sales!$E$4:$F$203,2,FALSE),0)</f>
        <v>#ERROR!</v>
      </c>
      <c r="F33" s="1">
        <v>2.2199999999999998</v>
      </c>
    </row>
    <row r="34" ht="14.25" customHeight="1">
      <c r="A34" s="1" t="s">
        <v>10</v>
      </c>
      <c r="B34" s="1" t="s">
        <v>27</v>
      </c>
      <c r="C34" s="1">
        <v>0.49</v>
      </c>
      <c r="D34" s="1" t="str">
        <f t="shared" si="1"/>
        <v>Retailer 1Brand 4_Promo.Group 3_APN 370</v>
      </c>
      <c r="E34" s="1" t="str">
        <f>IFERROR(VLOOKUP(D34,[1]Sales!$E$4:$F$203,2,FALSE),0)</f>
        <v>#ERROR!</v>
      </c>
      <c r="F34" s="1">
        <v>1.53</v>
      </c>
    </row>
    <row r="35" ht="14.25" customHeight="1">
      <c r="A35" s="1" t="s">
        <v>6</v>
      </c>
      <c r="B35" s="1" t="s">
        <v>28</v>
      </c>
      <c r="C35" s="1">
        <v>0.37</v>
      </c>
      <c r="D35" s="1" t="str">
        <f t="shared" si="1"/>
        <v>Retailer 0Brand 4_Promo.Group 3_APN 377</v>
      </c>
      <c r="E35" s="1" t="str">
        <f>IFERROR(VLOOKUP(D35,[1]Sales!$E$4:$F$203,2,FALSE),0)</f>
        <v>#ERROR!</v>
      </c>
      <c r="F35" s="1">
        <v>1.8900000000000001</v>
      </c>
    </row>
    <row r="36" ht="14.25" customHeight="1">
      <c r="A36" s="1" t="s">
        <v>10</v>
      </c>
      <c r="B36" s="1" t="s">
        <v>28</v>
      </c>
      <c r="C36" s="1">
        <v>0.31</v>
      </c>
      <c r="D36" s="1" t="str">
        <f t="shared" si="1"/>
        <v>Retailer 1Brand 4_Promo.Group 3_APN 377</v>
      </c>
      <c r="E36" s="1" t="str">
        <f>IFERROR(VLOOKUP(D36,[1]Sales!$E$4:$F$203,2,FALSE),0)</f>
        <v>#ERROR!</v>
      </c>
      <c r="F36" s="1">
        <v>2.07</v>
      </c>
    </row>
    <row r="37" ht="14.25" customHeight="1">
      <c r="A37" s="1" t="s">
        <v>6</v>
      </c>
      <c r="B37" s="1" t="s">
        <v>29</v>
      </c>
      <c r="C37" s="1">
        <v>0.23</v>
      </c>
      <c r="D37" s="1" t="str">
        <f t="shared" si="1"/>
        <v>Retailer 0Brand 4_Promo.Group 3_APN 418</v>
      </c>
      <c r="E37" s="1" t="str">
        <f>IFERROR(VLOOKUP(D37,[1]Sales!$E$4:$F$203,2,FALSE),0)</f>
        <v>#ERROR!</v>
      </c>
      <c r="F37" s="1">
        <v>2.31</v>
      </c>
    </row>
    <row r="38" ht="14.25" customHeight="1">
      <c r="A38" s="1" t="s">
        <v>10</v>
      </c>
      <c r="B38" s="1" t="s">
        <v>29</v>
      </c>
      <c r="C38" s="1">
        <v>0.22</v>
      </c>
      <c r="D38" s="1" t="str">
        <f t="shared" si="1"/>
        <v>Retailer 1Brand 4_Promo.Group 3_APN 418</v>
      </c>
      <c r="E38" s="1" t="str">
        <f>IFERROR(VLOOKUP(D38,[1]Sales!$E$4:$F$203,2,FALSE),0)</f>
        <v>#ERROR!</v>
      </c>
      <c r="F38" s="1">
        <v>2.34</v>
      </c>
    </row>
    <row r="39" ht="14.25" customHeight="1">
      <c r="A39" s="1" t="s">
        <v>6</v>
      </c>
      <c r="B39" s="1" t="s">
        <v>30</v>
      </c>
      <c r="C39" s="1">
        <v>0.41</v>
      </c>
      <c r="D39" s="1" t="str">
        <f t="shared" si="1"/>
        <v>Retailer 0Brand 5_Promo.Group 4_APN 190</v>
      </c>
      <c r="E39" s="1" t="str">
        <f>IFERROR(VLOOKUP(D39,[1]Sales!$E$4:$F$203,2,FALSE),0)</f>
        <v>#ERROR!</v>
      </c>
      <c r="F39" s="1">
        <v>1.7700000000000002</v>
      </c>
    </row>
    <row r="40" ht="14.25" customHeight="1">
      <c r="A40" s="1" t="s">
        <v>10</v>
      </c>
      <c r="B40" s="1" t="s">
        <v>30</v>
      </c>
      <c r="C40" s="1">
        <v>0.37</v>
      </c>
      <c r="D40" s="1" t="str">
        <f t="shared" si="1"/>
        <v>Retailer 1Brand 5_Promo.Group 4_APN 190</v>
      </c>
      <c r="E40" s="1" t="str">
        <f>IFERROR(VLOOKUP(D40,[1]Sales!$E$4:$F$203,2,FALSE),0)</f>
        <v>#ERROR!</v>
      </c>
      <c r="F40" s="1">
        <v>1.8900000000000001</v>
      </c>
    </row>
    <row r="41" ht="14.25" customHeight="1">
      <c r="A41" s="1" t="s">
        <v>6</v>
      </c>
      <c r="B41" s="1" t="s">
        <v>31</v>
      </c>
      <c r="C41" s="1">
        <v>0.24</v>
      </c>
      <c r="D41" s="1" t="str">
        <f t="shared" si="1"/>
        <v>Retailer 0Brand 5_Promo.Group 5_APN 12</v>
      </c>
      <c r="E41" s="1" t="str">
        <f>IFERROR(VLOOKUP(D41,[1]Sales!$E$4:$F$203,2,FALSE),0)</f>
        <v>#ERROR!</v>
      </c>
      <c r="F41" s="1">
        <v>3.8</v>
      </c>
    </row>
    <row r="42" ht="14.25" customHeight="1">
      <c r="A42" s="1" t="s">
        <v>10</v>
      </c>
      <c r="B42" s="1" t="s">
        <v>31</v>
      </c>
      <c r="C42" s="1">
        <v>0.24</v>
      </c>
      <c r="D42" s="1" t="str">
        <f t="shared" si="1"/>
        <v>Retailer 1Brand 5_Promo.Group 5_APN 12</v>
      </c>
      <c r="E42" s="1" t="str">
        <f>IFERROR(VLOOKUP(D42,[1]Sales!$E$4:$F$203,2,FALSE),0)</f>
        <v>#ERROR!</v>
      </c>
      <c r="F42" s="1">
        <v>3.8</v>
      </c>
    </row>
    <row r="43" ht="14.25" customHeight="1">
      <c r="A43" s="1" t="s">
        <v>6</v>
      </c>
      <c r="B43" s="1" t="s">
        <v>32</v>
      </c>
      <c r="C43" s="1">
        <v>0.35</v>
      </c>
      <c r="D43" s="1" t="str">
        <f t="shared" si="1"/>
        <v>Retailer 0Brand 5_Promo.Group 5_APN 217</v>
      </c>
      <c r="E43" s="1" t="str">
        <f>IFERROR(VLOOKUP(D43,[1]Sales!$E$4:$F$203,2,FALSE),0)</f>
        <v>#ERROR!</v>
      </c>
      <c r="F43" s="1">
        <v>3.25</v>
      </c>
    </row>
    <row r="44" ht="14.25" customHeight="1">
      <c r="A44" s="1" t="s">
        <v>10</v>
      </c>
      <c r="B44" s="1" t="s">
        <v>32</v>
      </c>
      <c r="C44" s="1">
        <v>0.34</v>
      </c>
      <c r="D44" s="1" t="str">
        <f t="shared" si="1"/>
        <v>Retailer 1Brand 5_Promo.Group 5_APN 217</v>
      </c>
      <c r="E44" s="1" t="str">
        <f>IFERROR(VLOOKUP(D44,[1]Sales!$E$4:$F$203,2,FALSE),0)</f>
        <v>#ERROR!</v>
      </c>
      <c r="F44" s="1">
        <v>3.3</v>
      </c>
    </row>
    <row r="45" ht="14.25" customHeight="1">
      <c r="A45" s="1" t="s">
        <v>6</v>
      </c>
      <c r="B45" s="1" t="s">
        <v>33</v>
      </c>
      <c r="C45" s="1">
        <v>0.25</v>
      </c>
      <c r="D45" s="1" t="str">
        <f t="shared" si="1"/>
        <v>Retailer 0Brand 5_Promo.Group 5_APN 230</v>
      </c>
      <c r="E45" s="1" t="str">
        <f>IFERROR(VLOOKUP(D45,[1]Sales!$E$4:$F$203,2,FALSE),0)</f>
        <v>#ERROR!</v>
      </c>
      <c r="F45" s="1">
        <v>3.75</v>
      </c>
    </row>
    <row r="46" ht="14.25" customHeight="1">
      <c r="A46" s="1" t="s">
        <v>10</v>
      </c>
      <c r="B46" s="1" t="s">
        <v>33</v>
      </c>
      <c r="C46" s="1">
        <v>0.28</v>
      </c>
      <c r="D46" s="1" t="str">
        <f t="shared" si="1"/>
        <v>Retailer 1Brand 5_Promo.Group 5_APN 230</v>
      </c>
      <c r="E46" s="1" t="str">
        <f>IFERROR(VLOOKUP(D46,[1]Sales!$E$4:$F$203,2,FALSE),0)</f>
        <v>#ERROR!</v>
      </c>
      <c r="F46" s="1">
        <v>3.5999999999999996</v>
      </c>
    </row>
    <row r="47" ht="14.25" customHeight="1">
      <c r="A47" s="1" t="s">
        <v>6</v>
      </c>
      <c r="B47" s="1" t="s">
        <v>34</v>
      </c>
      <c r="C47" s="1">
        <v>0.5</v>
      </c>
      <c r="D47" s="1" t="str">
        <f t="shared" si="1"/>
        <v>Retailer 0Brand 5_Promo.Group 6_APN 13</v>
      </c>
      <c r="E47" s="1" t="str">
        <f>IFERROR(VLOOKUP(D47,[1]Sales!$E$4:$F$203,2,FALSE),0)</f>
        <v>#ERROR!</v>
      </c>
      <c r="F47" s="1">
        <v>2.0</v>
      </c>
    </row>
    <row r="48" ht="14.25" customHeight="1">
      <c r="A48" s="1" t="s">
        <v>10</v>
      </c>
      <c r="B48" s="1" t="s">
        <v>34</v>
      </c>
      <c r="C48" s="1">
        <v>0.38</v>
      </c>
      <c r="D48" s="1" t="str">
        <f t="shared" si="1"/>
        <v>Retailer 1Brand 5_Promo.Group 6_APN 13</v>
      </c>
      <c r="E48" s="1" t="str">
        <f>IFERROR(VLOOKUP(D48,[1]Sales!$E$4:$F$203,2,FALSE),0)</f>
        <v>#ERROR!</v>
      </c>
      <c r="F48" s="1">
        <v>1.8599999999999999</v>
      </c>
    </row>
    <row r="49" ht="14.25" customHeight="1">
      <c r="A49" s="1" t="s">
        <v>6</v>
      </c>
      <c r="B49" s="1" t="s">
        <v>35</v>
      </c>
      <c r="C49" s="1">
        <v>0.4</v>
      </c>
      <c r="D49" s="1" t="str">
        <f t="shared" si="1"/>
        <v>Retailer 0Brand 5_Promo.Group 6_APN 14</v>
      </c>
      <c r="E49" s="1" t="str">
        <f>IFERROR(VLOOKUP(D49,[1]Sales!$E$4:$F$203,2,FALSE),0)</f>
        <v>#ERROR!</v>
      </c>
      <c r="F49" s="1">
        <v>1.7999999999999998</v>
      </c>
    </row>
    <row r="50" ht="14.25" customHeight="1">
      <c r="A50" s="1" t="s">
        <v>10</v>
      </c>
      <c r="B50" s="1" t="s">
        <v>35</v>
      </c>
      <c r="C50" s="1">
        <v>0.31</v>
      </c>
      <c r="D50" s="1" t="str">
        <f t="shared" si="1"/>
        <v>Retailer 1Brand 5_Promo.Group 6_APN 14</v>
      </c>
      <c r="E50" s="1" t="str">
        <f>IFERROR(VLOOKUP(D50,[1]Sales!$E$4:$F$203,2,FALSE),0)</f>
        <v>#ERROR!</v>
      </c>
      <c r="F50" s="1">
        <v>1.38</v>
      </c>
    </row>
    <row r="51" ht="14.25" customHeight="1">
      <c r="A51" s="1" t="s">
        <v>6</v>
      </c>
      <c r="B51" s="1" t="s">
        <v>36</v>
      </c>
      <c r="C51" s="1">
        <v>0.35</v>
      </c>
      <c r="D51" s="1" t="str">
        <f t="shared" si="1"/>
        <v>Retailer 0Brand 5_Promo.Group 6_APN 15</v>
      </c>
      <c r="E51" s="1" t="str">
        <f>IFERROR(VLOOKUP(D51,[1]Sales!$E$4:$F$203,2,FALSE),0)</f>
        <v>#ERROR!</v>
      </c>
      <c r="F51" s="1">
        <v>0.0</v>
      </c>
    </row>
    <row r="52" ht="14.25" customHeight="1">
      <c r="A52" s="1" t="s">
        <v>10</v>
      </c>
      <c r="B52" s="1" t="s">
        <v>36</v>
      </c>
      <c r="C52" s="1">
        <v>0.47</v>
      </c>
      <c r="D52" s="1" t="str">
        <f t="shared" si="1"/>
        <v>Retailer 1Brand 5_Promo.Group 6_APN 15</v>
      </c>
      <c r="E52" s="1" t="str">
        <f>IFERROR(VLOOKUP(D52,[1]Sales!$E$4:$F$203,2,FALSE),0)</f>
        <v>#ERROR!</v>
      </c>
      <c r="F52" s="1">
        <v>0.0</v>
      </c>
    </row>
    <row r="53" ht="14.25" customHeight="1">
      <c r="A53" s="1" t="s">
        <v>6</v>
      </c>
      <c r="B53" s="1" t="s">
        <v>37</v>
      </c>
      <c r="C53" s="1">
        <v>0.41</v>
      </c>
      <c r="D53" s="1" t="str">
        <f t="shared" si="1"/>
        <v>Retailer 0Brand 5_Promo.Group 6_APN 16</v>
      </c>
      <c r="E53" s="1" t="str">
        <f>IFERROR(VLOOKUP(D53,[1]Sales!$E$4:$F$203,2,FALSE),0)</f>
        <v>#ERROR!</v>
      </c>
      <c r="F53" s="1">
        <v>2.3600000000000003</v>
      </c>
    </row>
    <row r="54" ht="14.25" customHeight="1">
      <c r="A54" s="1" t="s">
        <v>10</v>
      </c>
      <c r="B54" s="1" t="s">
        <v>37</v>
      </c>
      <c r="C54" s="1">
        <v>0.24</v>
      </c>
      <c r="D54" s="1" t="str">
        <f t="shared" si="1"/>
        <v>Retailer 1Brand 5_Promo.Group 6_APN 16</v>
      </c>
      <c r="E54" s="1" t="str">
        <f>IFERROR(VLOOKUP(D54,[1]Sales!$E$4:$F$203,2,FALSE),0)</f>
        <v>#ERROR!</v>
      </c>
      <c r="F54" s="1">
        <v>1.52</v>
      </c>
    </row>
    <row r="55" ht="14.25" customHeight="1">
      <c r="A55" s="1" t="s">
        <v>6</v>
      </c>
      <c r="B55" s="1" t="s">
        <v>38</v>
      </c>
      <c r="C55" s="1">
        <v>0.36</v>
      </c>
      <c r="D55" s="1" t="str">
        <f t="shared" si="1"/>
        <v>Retailer 0Brand 5_Promo.Group 6_APN 185</v>
      </c>
      <c r="E55" s="1" t="str">
        <f>IFERROR(VLOOKUP(D55,[1]Sales!$E$4:$F$203,2,FALSE),0)</f>
        <v>#ERROR!</v>
      </c>
      <c r="F55" s="1">
        <v>0.0</v>
      </c>
    </row>
    <row r="56" ht="14.25" customHeight="1">
      <c r="A56" s="1" t="s">
        <v>10</v>
      </c>
      <c r="B56" s="1" t="s">
        <v>38</v>
      </c>
      <c r="C56" s="1">
        <v>0.47</v>
      </c>
      <c r="D56" s="1" t="str">
        <f t="shared" si="1"/>
        <v>Retailer 1Brand 5_Promo.Group 6_APN 185</v>
      </c>
      <c r="E56" s="1" t="str">
        <f>IFERROR(VLOOKUP(D56,[1]Sales!$E$4:$F$203,2,FALSE),0)</f>
        <v>#ERROR!</v>
      </c>
      <c r="F56" s="1">
        <v>0.0</v>
      </c>
    </row>
    <row r="57" ht="14.25" customHeight="1">
      <c r="A57" s="1" t="s">
        <v>6</v>
      </c>
      <c r="B57" s="1" t="s">
        <v>39</v>
      </c>
      <c r="C57" s="1">
        <v>0.36</v>
      </c>
      <c r="D57" s="1" t="str">
        <f t="shared" si="1"/>
        <v>Retailer 0Brand 5_Promo.Group 6_APN 189</v>
      </c>
      <c r="E57" s="1" t="str">
        <f>IFERROR(VLOOKUP(D57,[1]Sales!$E$4:$F$203,2,FALSE),0)</f>
        <v>#ERROR!</v>
      </c>
      <c r="F57" s="1">
        <v>0.0</v>
      </c>
    </row>
    <row r="58" ht="14.25" customHeight="1">
      <c r="A58" s="1" t="s">
        <v>10</v>
      </c>
      <c r="B58" s="1" t="s">
        <v>39</v>
      </c>
      <c r="C58" s="1">
        <v>0.21</v>
      </c>
      <c r="D58" s="1" t="str">
        <f t="shared" si="1"/>
        <v>Retailer 1Brand 5_Promo.Group 6_APN 189</v>
      </c>
      <c r="E58" s="1" t="str">
        <f>IFERROR(VLOOKUP(D58,[1]Sales!$E$4:$F$203,2,FALSE),0)</f>
        <v>#ERROR!</v>
      </c>
      <c r="F58" s="1">
        <v>0.0</v>
      </c>
    </row>
    <row r="59" ht="14.25" customHeight="1">
      <c r="A59" s="1" t="s">
        <v>6</v>
      </c>
      <c r="B59" s="1" t="s">
        <v>40</v>
      </c>
      <c r="C59" s="1">
        <v>0.38</v>
      </c>
      <c r="D59" s="1" t="str">
        <f t="shared" si="1"/>
        <v>Retailer 0Brand 5_Promo.Group 6_APN 192</v>
      </c>
      <c r="E59" s="1" t="str">
        <f>IFERROR(VLOOKUP(D59,[1]Sales!$E$4:$F$203,2,FALSE),0)</f>
        <v>#ERROR!</v>
      </c>
      <c r="F59" s="1">
        <v>0.0</v>
      </c>
    </row>
    <row r="60" ht="14.25" customHeight="1">
      <c r="A60" s="1" t="s">
        <v>10</v>
      </c>
      <c r="B60" s="1" t="s">
        <v>40</v>
      </c>
      <c r="C60" s="1">
        <v>0.28</v>
      </c>
      <c r="D60" s="1" t="str">
        <f t="shared" si="1"/>
        <v>Retailer 1Brand 5_Promo.Group 6_APN 192</v>
      </c>
      <c r="E60" s="1" t="str">
        <f>IFERROR(VLOOKUP(D60,[1]Sales!$E$4:$F$203,2,FALSE),0)</f>
        <v>#ERROR!</v>
      </c>
      <c r="F60" s="1">
        <v>0.0</v>
      </c>
    </row>
    <row r="61" ht="14.25" customHeight="1">
      <c r="A61" s="1" t="s">
        <v>6</v>
      </c>
      <c r="B61" s="1" t="s">
        <v>41</v>
      </c>
      <c r="C61" s="1">
        <v>0.46</v>
      </c>
      <c r="D61" s="1" t="str">
        <f t="shared" si="1"/>
        <v>Retailer 0Brand 5_Promo.Group 6_APN 194</v>
      </c>
      <c r="E61" s="1" t="str">
        <f>IFERROR(VLOOKUP(D61,[1]Sales!$E$4:$F$203,2,FALSE),0)</f>
        <v>#ERROR!</v>
      </c>
      <c r="F61" s="1">
        <v>1.62</v>
      </c>
    </row>
    <row r="62" ht="14.25" customHeight="1">
      <c r="A62" s="1" t="s">
        <v>10</v>
      </c>
      <c r="B62" s="1" t="s">
        <v>41</v>
      </c>
      <c r="C62" s="1">
        <v>0.28</v>
      </c>
      <c r="D62" s="1" t="str">
        <f t="shared" si="1"/>
        <v>Retailer 1Brand 5_Promo.Group 6_APN 194</v>
      </c>
      <c r="E62" s="1" t="str">
        <f>IFERROR(VLOOKUP(D62,[1]Sales!$E$4:$F$203,2,FALSE),0)</f>
        <v>#ERROR!</v>
      </c>
      <c r="F62" s="1">
        <v>2.16</v>
      </c>
    </row>
    <row r="63" ht="14.25" customHeight="1">
      <c r="A63" s="1" t="s">
        <v>6</v>
      </c>
      <c r="B63" s="1" t="s">
        <v>42</v>
      </c>
      <c r="C63" s="1">
        <v>0.3</v>
      </c>
      <c r="D63" s="1" t="str">
        <f t="shared" si="1"/>
        <v>Retailer 0Brand 5_Promo.Group 6_APN 196</v>
      </c>
      <c r="E63" s="1" t="str">
        <f>IFERROR(VLOOKUP(D63,[1]Sales!$E$4:$F$203,2,FALSE),0)</f>
        <v>#ERROR!</v>
      </c>
      <c r="F63" s="1">
        <v>1.4</v>
      </c>
    </row>
    <row r="64" ht="14.25" customHeight="1">
      <c r="A64" s="1" t="s">
        <v>10</v>
      </c>
      <c r="B64" s="1" t="s">
        <v>42</v>
      </c>
      <c r="C64" s="1">
        <v>0.24</v>
      </c>
      <c r="D64" s="1" t="str">
        <f t="shared" si="1"/>
        <v>Retailer 1Brand 5_Promo.Group 6_APN 196</v>
      </c>
      <c r="E64" s="1" t="str">
        <f>IFERROR(VLOOKUP(D64,[1]Sales!$E$4:$F$203,2,FALSE),0)</f>
        <v>#ERROR!</v>
      </c>
      <c r="F64" s="1">
        <v>0.0</v>
      </c>
    </row>
    <row r="65" ht="14.25" customHeight="1">
      <c r="A65" s="1" t="s">
        <v>6</v>
      </c>
      <c r="B65" s="1" t="s">
        <v>43</v>
      </c>
      <c r="C65" s="1">
        <v>0.31</v>
      </c>
      <c r="D65" s="1" t="str">
        <f t="shared" si="1"/>
        <v>Retailer 0Brand 5_Promo.Group 6_APN 197</v>
      </c>
      <c r="E65" s="1" t="str">
        <f>IFERROR(VLOOKUP(D65,[1]Sales!$E$4:$F$203,2,FALSE),0)</f>
        <v>#ERROR!</v>
      </c>
      <c r="F65" s="1">
        <v>1.38</v>
      </c>
    </row>
    <row r="66" ht="14.25" customHeight="1">
      <c r="A66" s="1" t="s">
        <v>10</v>
      </c>
      <c r="B66" s="1" t="s">
        <v>43</v>
      </c>
      <c r="C66" s="1">
        <v>0.25</v>
      </c>
      <c r="D66" s="1" t="str">
        <f t="shared" si="1"/>
        <v>Retailer 1Brand 5_Promo.Group 6_APN 197</v>
      </c>
      <c r="E66" s="1" t="str">
        <f>IFERROR(VLOOKUP(D66,[1]Sales!$E$4:$F$203,2,FALSE),0)</f>
        <v>#ERROR!</v>
      </c>
      <c r="F66" s="1">
        <v>0.0</v>
      </c>
    </row>
    <row r="67" ht="14.25" customHeight="1">
      <c r="A67" s="1" t="s">
        <v>6</v>
      </c>
      <c r="B67" s="1" t="s">
        <v>44</v>
      </c>
      <c r="C67" s="1">
        <v>0.36</v>
      </c>
      <c r="D67" s="1" t="str">
        <f t="shared" si="1"/>
        <v>Retailer 0Brand 5_Promo.Group 6_APN 198</v>
      </c>
      <c r="E67" s="1" t="str">
        <f>IFERROR(VLOOKUP(D67,[1]Sales!$E$4:$F$203,2,FALSE),0)</f>
        <v>#ERROR!</v>
      </c>
      <c r="F67" s="1">
        <v>0.0</v>
      </c>
    </row>
    <row r="68" ht="14.25" customHeight="1">
      <c r="A68" s="1" t="s">
        <v>10</v>
      </c>
      <c r="B68" s="1" t="s">
        <v>44</v>
      </c>
      <c r="C68" s="1">
        <v>0.46</v>
      </c>
      <c r="D68" s="1" t="str">
        <f t="shared" si="1"/>
        <v>Retailer 1Brand 5_Promo.Group 6_APN 198</v>
      </c>
      <c r="E68" s="1" t="str">
        <f>IFERROR(VLOOKUP(D68,[1]Sales!$E$4:$F$203,2,FALSE),0)</f>
        <v>#ERROR!</v>
      </c>
      <c r="F68" s="1">
        <v>0.0</v>
      </c>
    </row>
    <row r="69" ht="14.25" customHeight="1">
      <c r="A69" s="1" t="s">
        <v>6</v>
      </c>
      <c r="B69" s="1" t="s">
        <v>45</v>
      </c>
      <c r="C69" s="1">
        <v>0.42</v>
      </c>
      <c r="D69" s="1" t="str">
        <f t="shared" si="1"/>
        <v>Retailer 0Brand 5_Promo.Group 6_APN 199</v>
      </c>
      <c r="E69" s="1" t="str">
        <f>IFERROR(VLOOKUP(D69,[1]Sales!$E$4:$F$203,2,FALSE),0)</f>
        <v>#ERROR!</v>
      </c>
      <c r="F69" s="1">
        <v>0.0</v>
      </c>
    </row>
    <row r="70" ht="14.25" customHeight="1">
      <c r="A70" s="1" t="s">
        <v>10</v>
      </c>
      <c r="B70" s="1" t="s">
        <v>45</v>
      </c>
      <c r="C70" s="1">
        <v>0.27</v>
      </c>
      <c r="D70" s="1" t="str">
        <f t="shared" si="1"/>
        <v>Retailer 1Brand 5_Promo.Group 6_APN 199</v>
      </c>
      <c r="E70" s="1" t="str">
        <f>IFERROR(VLOOKUP(D70,[1]Sales!$E$4:$F$203,2,FALSE),0)</f>
        <v>#ERROR!</v>
      </c>
      <c r="F70" s="1">
        <v>0.0</v>
      </c>
    </row>
    <row r="71" ht="14.25" customHeight="1">
      <c r="A71" s="1" t="s">
        <v>6</v>
      </c>
      <c r="B71" s="1" t="s">
        <v>46</v>
      </c>
      <c r="C71" s="1">
        <v>0.42</v>
      </c>
      <c r="D71" s="1" t="str">
        <f t="shared" si="1"/>
        <v>Retailer 0Brand 5_Promo.Group 6_APN 203</v>
      </c>
      <c r="E71" s="1" t="str">
        <f>IFERROR(VLOOKUP(D71,[1]Sales!$E$4:$F$203,2,FALSE),0)</f>
        <v>#ERROR!</v>
      </c>
      <c r="F71" s="1">
        <v>1.7400000000000002</v>
      </c>
    </row>
    <row r="72" ht="14.25" customHeight="1">
      <c r="A72" s="1" t="s">
        <v>10</v>
      </c>
      <c r="B72" s="1" t="s">
        <v>46</v>
      </c>
      <c r="C72" s="1">
        <v>0.44</v>
      </c>
      <c r="D72" s="1" t="str">
        <f t="shared" si="1"/>
        <v>Retailer 1Brand 5_Promo.Group 6_APN 203</v>
      </c>
      <c r="E72" s="1" t="str">
        <f>IFERROR(VLOOKUP(D72,[1]Sales!$E$4:$F$203,2,FALSE),0)</f>
        <v>#ERROR!</v>
      </c>
      <c r="F72" s="1">
        <v>1.6800000000000002</v>
      </c>
    </row>
    <row r="73" ht="14.25" customHeight="1">
      <c r="A73" s="1" t="s">
        <v>6</v>
      </c>
      <c r="B73" s="1" t="s">
        <v>47</v>
      </c>
      <c r="C73" s="1">
        <v>0.47</v>
      </c>
      <c r="D73" s="1" t="str">
        <f t="shared" si="1"/>
        <v>Retailer 0Brand 5_Promo.Group 6_APN 204</v>
      </c>
      <c r="E73" s="1" t="str">
        <f>IFERROR(VLOOKUP(D73,[1]Sales!$E$4:$F$203,2,FALSE),0)</f>
        <v>#ERROR!</v>
      </c>
      <c r="F73" s="1">
        <v>1.59</v>
      </c>
    </row>
    <row r="74" ht="14.25" customHeight="1">
      <c r="A74" s="1" t="s">
        <v>10</v>
      </c>
      <c r="B74" s="1" t="s">
        <v>47</v>
      </c>
      <c r="C74" s="1">
        <v>0.46</v>
      </c>
      <c r="D74" s="1" t="str">
        <f t="shared" si="1"/>
        <v>Retailer 1Brand 5_Promo.Group 6_APN 204</v>
      </c>
      <c r="E74" s="1" t="str">
        <f>IFERROR(VLOOKUP(D74,[1]Sales!$E$4:$F$203,2,FALSE),0)</f>
        <v>#ERROR!</v>
      </c>
      <c r="F74" s="1">
        <v>0.0</v>
      </c>
    </row>
    <row r="75" ht="14.25" customHeight="1">
      <c r="A75" s="1" t="s">
        <v>6</v>
      </c>
      <c r="B75" s="1" t="s">
        <v>48</v>
      </c>
      <c r="C75" s="1">
        <v>0.27</v>
      </c>
      <c r="D75" s="1" t="str">
        <f t="shared" si="1"/>
        <v>Retailer 0Brand 5_Promo.Group 6_APN 205</v>
      </c>
      <c r="E75" s="1" t="str">
        <f>IFERROR(VLOOKUP(D75,[1]Sales!$E$4:$F$203,2,FALSE),0)</f>
        <v>#ERROR!</v>
      </c>
      <c r="F75" s="1">
        <v>2.19</v>
      </c>
    </row>
    <row r="76" ht="14.25" customHeight="1">
      <c r="A76" s="1" t="s">
        <v>10</v>
      </c>
      <c r="B76" s="1" t="s">
        <v>48</v>
      </c>
      <c r="C76" s="1">
        <v>0.21</v>
      </c>
      <c r="D76" s="1" t="str">
        <f t="shared" si="1"/>
        <v>Retailer 1Brand 5_Promo.Group 6_APN 205</v>
      </c>
      <c r="E76" s="1" t="str">
        <f>IFERROR(VLOOKUP(D76,[1]Sales!$E$4:$F$203,2,FALSE),0)</f>
        <v>#ERROR!</v>
      </c>
      <c r="F76" s="1">
        <v>0.0</v>
      </c>
    </row>
    <row r="77" ht="14.25" customHeight="1">
      <c r="A77" s="1" t="s">
        <v>6</v>
      </c>
      <c r="B77" s="1" t="s">
        <v>49</v>
      </c>
      <c r="C77" s="1">
        <v>0.26</v>
      </c>
      <c r="D77" s="1" t="str">
        <f t="shared" si="1"/>
        <v>Retailer 0Brand 5_Promo.Group 6_APN 208</v>
      </c>
      <c r="E77" s="1" t="str">
        <f>IFERROR(VLOOKUP(D77,[1]Sales!$E$4:$F$203,2,FALSE),0)</f>
        <v>#ERROR!</v>
      </c>
      <c r="F77" s="1">
        <v>2.96</v>
      </c>
    </row>
    <row r="78" ht="14.25" customHeight="1">
      <c r="A78" s="1" t="s">
        <v>10</v>
      </c>
      <c r="B78" s="1" t="s">
        <v>49</v>
      </c>
      <c r="C78" s="1">
        <v>0.35</v>
      </c>
      <c r="D78" s="1" t="str">
        <f t="shared" si="1"/>
        <v>Retailer 1Brand 5_Promo.Group 6_APN 208</v>
      </c>
      <c r="E78" s="1" t="str">
        <f>IFERROR(VLOOKUP(D78,[1]Sales!$E$4:$F$203,2,FALSE),0)</f>
        <v>#ERROR!</v>
      </c>
      <c r="F78" s="1">
        <v>1.9500000000000002</v>
      </c>
    </row>
    <row r="79" ht="14.25" customHeight="1">
      <c r="A79" s="1" t="s">
        <v>6</v>
      </c>
      <c r="B79" s="1" t="s">
        <v>50</v>
      </c>
      <c r="C79" s="1">
        <v>0.43</v>
      </c>
      <c r="D79" s="1" t="str">
        <f t="shared" si="1"/>
        <v>Retailer 0Brand 5_Promo.Group 6_APN 210</v>
      </c>
      <c r="E79" s="1" t="str">
        <f>IFERROR(VLOOKUP(D79,[1]Sales!$E$4:$F$203,2,FALSE),0)</f>
        <v>#ERROR!</v>
      </c>
      <c r="F79" s="1">
        <v>0.0</v>
      </c>
    </row>
    <row r="80" ht="14.25" customHeight="1">
      <c r="A80" s="1" t="s">
        <v>10</v>
      </c>
      <c r="B80" s="1" t="s">
        <v>50</v>
      </c>
      <c r="C80" s="1">
        <v>0.33</v>
      </c>
      <c r="D80" s="1" t="str">
        <f t="shared" si="1"/>
        <v>Retailer 1Brand 5_Promo.Group 6_APN 210</v>
      </c>
      <c r="E80" s="1" t="str">
        <f>IFERROR(VLOOKUP(D80,[1]Sales!$E$4:$F$203,2,FALSE),0)</f>
        <v>#ERROR!</v>
      </c>
      <c r="F80" s="1">
        <v>0.0</v>
      </c>
    </row>
    <row r="81" ht="14.25" customHeight="1">
      <c r="A81" s="1" t="s">
        <v>6</v>
      </c>
      <c r="B81" s="1" t="s">
        <v>51</v>
      </c>
      <c r="C81" s="1">
        <v>0.48</v>
      </c>
      <c r="D81" s="1" t="str">
        <f t="shared" si="1"/>
        <v>Retailer 0Brand 5_Promo.Group 6_APN 215</v>
      </c>
      <c r="E81" s="1" t="str">
        <f>IFERROR(VLOOKUP(D81,[1]Sales!$E$4:$F$203,2,FALSE),0)</f>
        <v>#ERROR!</v>
      </c>
      <c r="F81" s="1">
        <v>0.0</v>
      </c>
    </row>
    <row r="82" ht="14.25" customHeight="1">
      <c r="A82" s="1" t="s">
        <v>10</v>
      </c>
      <c r="B82" s="1" t="s">
        <v>51</v>
      </c>
      <c r="C82" s="1">
        <v>0.29</v>
      </c>
      <c r="D82" s="1" t="str">
        <f t="shared" si="1"/>
        <v>Retailer 1Brand 5_Promo.Group 6_APN 215</v>
      </c>
      <c r="E82" s="1" t="str">
        <f>IFERROR(VLOOKUP(D82,[1]Sales!$E$4:$F$203,2,FALSE),0)</f>
        <v>#ERROR!</v>
      </c>
      <c r="F82" s="1">
        <v>0.0</v>
      </c>
    </row>
    <row r="83" ht="14.25" customHeight="1">
      <c r="A83" s="1" t="s">
        <v>6</v>
      </c>
      <c r="B83" s="1" t="s">
        <v>52</v>
      </c>
      <c r="C83" s="1">
        <v>0.3</v>
      </c>
      <c r="D83" s="1" t="str">
        <f t="shared" si="1"/>
        <v>Retailer 0Brand 5_Promo.Group 6_APN 216</v>
      </c>
      <c r="E83" s="1" t="str">
        <f>IFERROR(VLOOKUP(D83,[1]Sales!$E$4:$F$203,2,FALSE),0)</f>
        <v>#ERROR!</v>
      </c>
      <c r="F83" s="1">
        <v>2.0999999999999996</v>
      </c>
    </row>
    <row r="84" ht="14.25" customHeight="1">
      <c r="A84" s="1" t="s">
        <v>10</v>
      </c>
      <c r="B84" s="1" t="s">
        <v>52</v>
      </c>
      <c r="C84" s="1">
        <v>0.4</v>
      </c>
      <c r="D84" s="1" t="str">
        <f t="shared" si="1"/>
        <v>Retailer 1Brand 5_Promo.Group 6_APN 216</v>
      </c>
      <c r="E84" s="1" t="str">
        <f>IFERROR(VLOOKUP(D84,[1]Sales!$E$4:$F$203,2,FALSE),0)</f>
        <v>#ERROR!</v>
      </c>
      <c r="F84" s="1">
        <v>1.2</v>
      </c>
    </row>
    <row r="85" ht="14.25" customHeight="1">
      <c r="A85" s="1" t="s">
        <v>6</v>
      </c>
      <c r="B85" s="1" t="s">
        <v>53</v>
      </c>
      <c r="C85" s="1">
        <v>0.21</v>
      </c>
      <c r="D85" s="1" t="str">
        <f t="shared" si="1"/>
        <v>Retailer 0Brand 5_Promo.Group 6_APN 219</v>
      </c>
      <c r="E85" s="1" t="str">
        <f>IFERROR(VLOOKUP(D85,[1]Sales!$E$4:$F$203,2,FALSE),0)</f>
        <v>#ERROR!</v>
      </c>
      <c r="F85" s="1">
        <v>0.0</v>
      </c>
    </row>
    <row r="86" ht="14.25" customHeight="1">
      <c r="A86" s="1" t="s">
        <v>10</v>
      </c>
      <c r="B86" s="1" t="s">
        <v>53</v>
      </c>
      <c r="C86" s="1">
        <v>0.3</v>
      </c>
      <c r="D86" s="1" t="str">
        <f t="shared" si="1"/>
        <v>Retailer 1Brand 5_Promo.Group 6_APN 219</v>
      </c>
      <c r="E86" s="1" t="str">
        <f>IFERROR(VLOOKUP(D86,[1]Sales!$E$4:$F$203,2,FALSE),0)</f>
        <v>#ERROR!</v>
      </c>
      <c r="F86" s="1">
        <v>0.0</v>
      </c>
    </row>
    <row r="87" ht="14.25" customHeight="1">
      <c r="A87" s="1" t="s">
        <v>6</v>
      </c>
      <c r="B87" s="1" t="s">
        <v>54</v>
      </c>
      <c r="C87" s="1">
        <v>0.37</v>
      </c>
      <c r="D87" s="1" t="str">
        <f t="shared" si="1"/>
        <v>Retailer 0Brand 5_Promo.Group 6_APN 220</v>
      </c>
      <c r="E87" s="1" t="str">
        <f>IFERROR(VLOOKUP(D87,[1]Sales!$E$4:$F$203,2,FALSE),0)</f>
        <v>#ERROR!</v>
      </c>
      <c r="F87" s="1">
        <v>0.0</v>
      </c>
    </row>
    <row r="88" ht="14.25" customHeight="1">
      <c r="A88" s="1" t="s">
        <v>10</v>
      </c>
      <c r="B88" s="1" t="s">
        <v>54</v>
      </c>
      <c r="C88" s="1">
        <v>0.36</v>
      </c>
      <c r="D88" s="1" t="str">
        <f t="shared" si="1"/>
        <v>Retailer 1Brand 5_Promo.Group 6_APN 220</v>
      </c>
      <c r="E88" s="1" t="str">
        <f>IFERROR(VLOOKUP(D88,[1]Sales!$E$4:$F$203,2,FALSE),0)</f>
        <v>#ERROR!</v>
      </c>
      <c r="F88" s="1">
        <v>0.0</v>
      </c>
    </row>
    <row r="89" ht="14.25" customHeight="1">
      <c r="A89" s="1" t="s">
        <v>6</v>
      </c>
      <c r="B89" s="1" t="s">
        <v>55</v>
      </c>
      <c r="C89" s="1">
        <v>0.34</v>
      </c>
      <c r="D89" s="1" t="str">
        <f t="shared" si="1"/>
        <v>Retailer 0Brand 5_Promo.Group 6_APN 222</v>
      </c>
      <c r="E89" s="1" t="str">
        <f>IFERROR(VLOOKUP(D89,[1]Sales!$E$4:$F$203,2,FALSE),0)</f>
        <v>#ERROR!</v>
      </c>
      <c r="F89" s="1">
        <v>1.9799999999999998</v>
      </c>
    </row>
    <row r="90" ht="14.25" customHeight="1">
      <c r="A90" s="1" t="s">
        <v>10</v>
      </c>
      <c r="B90" s="1" t="s">
        <v>55</v>
      </c>
      <c r="C90" s="1">
        <v>0.37</v>
      </c>
      <c r="D90" s="1" t="str">
        <f t="shared" si="1"/>
        <v>Retailer 1Brand 5_Promo.Group 6_APN 222</v>
      </c>
      <c r="E90" s="1" t="str">
        <f>IFERROR(VLOOKUP(D90,[1]Sales!$E$4:$F$203,2,FALSE),0)</f>
        <v>#ERROR!</v>
      </c>
      <c r="F90" s="1">
        <v>0.0</v>
      </c>
    </row>
    <row r="91" ht="14.25" customHeight="1">
      <c r="A91" s="1" t="s">
        <v>6</v>
      </c>
      <c r="B91" s="1" t="s">
        <v>56</v>
      </c>
      <c r="C91" s="1">
        <v>0.39</v>
      </c>
      <c r="D91" s="1" t="str">
        <f t="shared" si="1"/>
        <v>Retailer 0Brand 5_Promo.Group 6_APN 224</v>
      </c>
      <c r="E91" s="1" t="str">
        <f>IFERROR(VLOOKUP(D91,[1]Sales!$E$4:$F$203,2,FALSE),0)</f>
        <v>#ERROR!</v>
      </c>
      <c r="F91" s="1">
        <v>1.83</v>
      </c>
    </row>
    <row r="92" ht="14.25" customHeight="1">
      <c r="A92" s="1" t="s">
        <v>10</v>
      </c>
      <c r="B92" s="1" t="s">
        <v>56</v>
      </c>
      <c r="C92" s="1">
        <v>0.31</v>
      </c>
      <c r="D92" s="1" t="str">
        <f t="shared" si="1"/>
        <v>Retailer 1Brand 5_Promo.Group 6_APN 224</v>
      </c>
      <c r="E92" s="1" t="str">
        <f>IFERROR(VLOOKUP(D92,[1]Sales!$E$4:$F$203,2,FALSE),0)</f>
        <v>#ERROR!</v>
      </c>
      <c r="F92" s="1">
        <v>2.07</v>
      </c>
    </row>
    <row r="93" ht="14.25" customHeight="1">
      <c r="A93" s="1" t="s">
        <v>6</v>
      </c>
      <c r="B93" s="1" t="s">
        <v>57</v>
      </c>
      <c r="C93" s="1">
        <v>0.27</v>
      </c>
      <c r="D93" s="1" t="str">
        <f t="shared" si="1"/>
        <v>Retailer 0Brand 5_Promo.Group 6_APN 225</v>
      </c>
      <c r="E93" s="1" t="str">
        <f>IFERROR(VLOOKUP(D93,[1]Sales!$E$4:$F$203,2,FALSE),0)</f>
        <v>#ERROR!</v>
      </c>
      <c r="F93" s="1">
        <v>2.92</v>
      </c>
    </row>
    <row r="94" ht="14.25" customHeight="1">
      <c r="A94" s="1" t="s">
        <v>10</v>
      </c>
      <c r="B94" s="1" t="s">
        <v>57</v>
      </c>
      <c r="C94" s="1">
        <v>0.22</v>
      </c>
      <c r="D94" s="1" t="str">
        <f t="shared" si="1"/>
        <v>Retailer 1Brand 5_Promo.Group 6_APN 225</v>
      </c>
      <c r="E94" s="1" t="str">
        <f>IFERROR(VLOOKUP(D94,[1]Sales!$E$4:$F$203,2,FALSE),0)</f>
        <v>#ERROR!</v>
      </c>
      <c r="F94" s="1">
        <v>1.56</v>
      </c>
    </row>
    <row r="95" ht="14.25" customHeight="1">
      <c r="A95" s="1" t="s">
        <v>6</v>
      </c>
      <c r="B95" s="1" t="s">
        <v>58</v>
      </c>
      <c r="C95" s="1">
        <v>0.26</v>
      </c>
      <c r="D95" s="1" t="str">
        <f t="shared" si="1"/>
        <v>Retailer 0Brand 5_Promo.Group 6_APN 229</v>
      </c>
      <c r="E95" s="1" t="str">
        <f>IFERROR(VLOOKUP(D95,[1]Sales!$E$4:$F$203,2,FALSE),0)</f>
        <v>#ERROR!</v>
      </c>
      <c r="F95" s="1">
        <v>2.2199999999999998</v>
      </c>
    </row>
    <row r="96" ht="14.25" customHeight="1">
      <c r="A96" s="1" t="s">
        <v>10</v>
      </c>
      <c r="B96" s="1" t="s">
        <v>58</v>
      </c>
      <c r="C96" s="1">
        <v>0.41</v>
      </c>
      <c r="D96" s="1" t="str">
        <f t="shared" si="1"/>
        <v>Retailer 1Brand 5_Promo.Group 6_APN 229</v>
      </c>
      <c r="E96" s="1" t="str">
        <f>IFERROR(VLOOKUP(D96,[1]Sales!$E$4:$F$203,2,FALSE),0)</f>
        <v>#ERROR!</v>
      </c>
      <c r="F96" s="1">
        <v>1.1800000000000002</v>
      </c>
    </row>
    <row r="97" ht="14.25" customHeight="1">
      <c r="A97" s="1" t="s">
        <v>6</v>
      </c>
      <c r="B97" s="1" t="s">
        <v>59</v>
      </c>
      <c r="C97" s="1">
        <v>0.38</v>
      </c>
      <c r="D97" s="1" t="str">
        <f t="shared" si="1"/>
        <v>Retailer 0Brand 5_Promo.Group 6_APN 231</v>
      </c>
      <c r="E97" s="1" t="str">
        <f>IFERROR(VLOOKUP(D97,[1]Sales!$E$4:$F$203,2,FALSE),0)</f>
        <v>#ERROR!</v>
      </c>
      <c r="F97" s="1">
        <v>1.8599999999999999</v>
      </c>
    </row>
    <row r="98" ht="14.25" customHeight="1">
      <c r="A98" s="1" t="s">
        <v>10</v>
      </c>
      <c r="B98" s="1" t="s">
        <v>59</v>
      </c>
      <c r="C98" s="1">
        <v>0.37</v>
      </c>
      <c r="D98" s="1" t="str">
        <f t="shared" si="1"/>
        <v>Retailer 1Brand 5_Promo.Group 6_APN 231</v>
      </c>
      <c r="E98" s="1" t="str">
        <f>IFERROR(VLOOKUP(D98,[1]Sales!$E$4:$F$203,2,FALSE),0)</f>
        <v>#ERROR!</v>
      </c>
      <c r="F98" s="1">
        <v>1.8900000000000001</v>
      </c>
    </row>
    <row r="99" ht="14.25" customHeight="1">
      <c r="A99" s="1" t="s">
        <v>6</v>
      </c>
      <c r="B99" s="1" t="s">
        <v>60</v>
      </c>
      <c r="C99" s="1">
        <v>0.31</v>
      </c>
      <c r="D99" s="1" t="str">
        <f t="shared" si="1"/>
        <v>Retailer 0Brand 5_Promo.Group 6_APN 232</v>
      </c>
      <c r="E99" s="1" t="str">
        <f>IFERROR(VLOOKUP(D99,[1]Sales!$E$4:$F$203,2,FALSE),0)</f>
        <v>#ERROR!</v>
      </c>
      <c r="F99" s="1">
        <v>0.0</v>
      </c>
    </row>
    <row r="100" ht="14.25" customHeight="1">
      <c r="A100" s="1" t="s">
        <v>10</v>
      </c>
      <c r="B100" s="1" t="s">
        <v>60</v>
      </c>
      <c r="C100" s="1">
        <v>0.46</v>
      </c>
      <c r="D100" s="1" t="str">
        <f t="shared" si="1"/>
        <v>Retailer 1Brand 5_Promo.Group 6_APN 232</v>
      </c>
      <c r="E100" s="1" t="str">
        <f>IFERROR(VLOOKUP(D100,[1]Sales!$E$4:$F$203,2,FALSE),0)</f>
        <v>#ERROR!</v>
      </c>
      <c r="F100" s="1">
        <v>0.0</v>
      </c>
    </row>
    <row r="101" ht="14.25" customHeight="1">
      <c r="A101" s="1" t="s">
        <v>6</v>
      </c>
      <c r="B101" s="1" t="s">
        <v>61</v>
      </c>
      <c r="C101" s="1">
        <v>0.33</v>
      </c>
      <c r="D101" s="1" t="str">
        <f t="shared" si="1"/>
        <v>Retailer 0Brand 5_Promo.Group 6_APN 233</v>
      </c>
      <c r="E101" s="1" t="str">
        <f>IFERROR(VLOOKUP(D101,[1]Sales!$E$4:$F$203,2,FALSE),0)</f>
        <v>#ERROR!</v>
      </c>
      <c r="F101" s="1">
        <v>0.0</v>
      </c>
    </row>
    <row r="102" ht="14.25" customHeight="1">
      <c r="A102" s="1" t="s">
        <v>10</v>
      </c>
      <c r="B102" s="1" t="s">
        <v>61</v>
      </c>
      <c r="C102" s="1">
        <v>0.43</v>
      </c>
      <c r="D102" s="1" t="str">
        <f t="shared" si="1"/>
        <v>Retailer 1Brand 5_Promo.Group 6_APN 233</v>
      </c>
      <c r="E102" s="1" t="str">
        <f>IFERROR(VLOOKUP(D102,[1]Sales!$E$4:$F$203,2,FALSE),0)</f>
        <v>#ERROR!</v>
      </c>
      <c r="F102" s="1">
        <v>0.0</v>
      </c>
    </row>
    <row r="103" ht="14.25" customHeight="1">
      <c r="A103" s="1" t="s">
        <v>6</v>
      </c>
      <c r="B103" s="1" t="s">
        <v>62</v>
      </c>
      <c r="C103" s="1">
        <v>0.37</v>
      </c>
      <c r="D103" s="1" t="str">
        <f t="shared" si="1"/>
        <v>Retailer 0Brand 5_Promo.Group 6_APN 234</v>
      </c>
      <c r="E103" s="1" t="str">
        <f>IFERROR(VLOOKUP(D103,[1]Sales!$E$4:$F$203,2,FALSE),0)</f>
        <v>#ERROR!</v>
      </c>
      <c r="F103" s="1">
        <v>1.8900000000000001</v>
      </c>
    </row>
    <row r="104" ht="14.25" customHeight="1">
      <c r="A104" s="1" t="s">
        <v>10</v>
      </c>
      <c r="B104" s="1" t="s">
        <v>62</v>
      </c>
      <c r="C104" s="1">
        <v>0.35</v>
      </c>
      <c r="D104" s="1" t="str">
        <f t="shared" si="1"/>
        <v>Retailer 1Brand 5_Promo.Group 6_APN 234</v>
      </c>
      <c r="E104" s="1" t="str">
        <f>IFERROR(VLOOKUP(D104,[1]Sales!$E$4:$F$203,2,FALSE),0)</f>
        <v>#ERROR!</v>
      </c>
      <c r="F104" s="1">
        <v>1.9500000000000002</v>
      </c>
    </row>
    <row r="105" ht="14.25" customHeight="1">
      <c r="A105" s="1" t="s">
        <v>6</v>
      </c>
      <c r="B105" s="1" t="s">
        <v>63</v>
      </c>
      <c r="C105" s="1">
        <v>0.22</v>
      </c>
      <c r="D105" s="1" t="str">
        <f t="shared" si="1"/>
        <v>Retailer 0Brand 5_Promo.Group 6_APN 235</v>
      </c>
      <c r="E105" s="1" t="str">
        <f>IFERROR(VLOOKUP(D105,[1]Sales!$E$4:$F$203,2,FALSE),0)</f>
        <v>#ERROR!</v>
      </c>
      <c r="F105" s="1">
        <v>0.0</v>
      </c>
    </row>
    <row r="106" ht="14.25" customHeight="1">
      <c r="A106" s="1" t="s">
        <v>10</v>
      </c>
      <c r="B106" s="1" t="s">
        <v>63</v>
      </c>
      <c r="C106" s="1">
        <v>0.37</v>
      </c>
      <c r="D106" s="1" t="str">
        <f t="shared" si="1"/>
        <v>Retailer 1Brand 5_Promo.Group 6_APN 235</v>
      </c>
      <c r="E106" s="1" t="str">
        <f>IFERROR(VLOOKUP(D106,[1]Sales!$E$4:$F$203,2,FALSE),0)</f>
        <v>#ERROR!</v>
      </c>
      <c r="F106" s="1">
        <v>0.0</v>
      </c>
    </row>
    <row r="107" ht="14.25" customHeight="1">
      <c r="A107" s="1" t="s">
        <v>6</v>
      </c>
      <c r="B107" s="1" t="s">
        <v>64</v>
      </c>
      <c r="C107" s="1">
        <v>0.44</v>
      </c>
      <c r="D107" s="1" t="str">
        <f t="shared" si="1"/>
        <v>Retailer 0Brand 5_Promo.Group 6_APN 236</v>
      </c>
      <c r="E107" s="1" t="str">
        <f>IFERROR(VLOOKUP(D107,[1]Sales!$E$4:$F$203,2,FALSE),0)</f>
        <v>#ERROR!</v>
      </c>
      <c r="F107" s="1">
        <v>0.0</v>
      </c>
    </row>
    <row r="108" ht="14.25" customHeight="1">
      <c r="A108" s="1" t="s">
        <v>10</v>
      </c>
      <c r="B108" s="1" t="s">
        <v>64</v>
      </c>
      <c r="C108" s="1">
        <v>0.49</v>
      </c>
      <c r="D108" s="1" t="str">
        <f t="shared" si="1"/>
        <v>Retailer 1Brand 5_Promo.Group 6_APN 236</v>
      </c>
      <c r="E108" s="1" t="str">
        <f>IFERROR(VLOOKUP(D108,[1]Sales!$E$4:$F$203,2,FALSE),0)</f>
        <v>#ERROR!</v>
      </c>
      <c r="F108" s="1">
        <v>0.0</v>
      </c>
    </row>
    <row r="109" ht="14.25" customHeight="1">
      <c r="E109" s="1">
        <f>COUNTIF(E2:E108,"&gt;0")</f>
        <v>0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7.88"/>
    <col customWidth="1" min="3" max="26" width="8.63"/>
  </cols>
  <sheetData>
    <row r="1" ht="14.25" customHeight="1">
      <c r="A1" s="1" t="s">
        <v>0</v>
      </c>
      <c r="B1" s="1" t="s">
        <v>1</v>
      </c>
      <c r="C1" s="1" t="s">
        <v>5</v>
      </c>
    </row>
    <row r="2" ht="14.25" customHeight="1">
      <c r="A2" s="1" t="s">
        <v>6</v>
      </c>
      <c r="B2" s="1" t="s">
        <v>65</v>
      </c>
      <c r="C2" s="2">
        <v>2.184</v>
      </c>
    </row>
    <row r="3" ht="14.25" customHeight="1">
      <c r="A3" s="1" t="s">
        <v>6</v>
      </c>
      <c r="B3" s="1" t="s">
        <v>66</v>
      </c>
      <c r="C3" s="2">
        <v>2.1559999999999997</v>
      </c>
    </row>
    <row r="4" ht="14.25" customHeight="1">
      <c r="A4" s="1" t="s">
        <v>6</v>
      </c>
      <c r="B4" s="1" t="s">
        <v>67</v>
      </c>
      <c r="C4" s="2">
        <v>2.6799999999999997</v>
      </c>
    </row>
    <row r="5" ht="14.25" customHeight="1">
      <c r="A5" s="1" t="s">
        <v>6</v>
      </c>
      <c r="B5" s="1" t="s">
        <v>68</v>
      </c>
      <c r="C5" s="2">
        <v>2.8139999999999996</v>
      </c>
    </row>
    <row r="6" ht="14.25" customHeight="1">
      <c r="A6" s="1" t="s">
        <v>6</v>
      </c>
      <c r="B6" s="1" t="s">
        <v>69</v>
      </c>
      <c r="C6" s="2">
        <v>0.237</v>
      </c>
    </row>
    <row r="7" ht="14.25" customHeight="1">
      <c r="A7" s="1" t="s">
        <v>6</v>
      </c>
      <c r="B7" s="1" t="s">
        <v>70</v>
      </c>
      <c r="C7" s="2">
        <v>2.4599999999999995</v>
      </c>
    </row>
    <row r="8" ht="14.25" customHeight="1">
      <c r="A8" s="1" t="s">
        <v>6</v>
      </c>
      <c r="B8" s="1" t="s">
        <v>71</v>
      </c>
      <c r="C8" s="2">
        <v>2.808</v>
      </c>
    </row>
    <row r="9" ht="14.25" customHeight="1">
      <c r="A9" s="1" t="s">
        <v>6</v>
      </c>
      <c r="B9" s="1" t="s">
        <v>72</v>
      </c>
      <c r="C9" s="2">
        <v>1.8399999999999999</v>
      </c>
    </row>
    <row r="10" ht="14.25" customHeight="1">
      <c r="A10" s="1" t="s">
        <v>6</v>
      </c>
      <c r="B10" s="1" t="s">
        <v>73</v>
      </c>
      <c r="C10" s="2">
        <v>2.95</v>
      </c>
    </row>
    <row r="11" ht="14.25" customHeight="1">
      <c r="A11" s="1" t="s">
        <v>6</v>
      </c>
      <c r="B11" s="1" t="s">
        <v>74</v>
      </c>
      <c r="C11" s="2">
        <v>3.15</v>
      </c>
    </row>
    <row r="12" ht="14.25" customHeight="1">
      <c r="A12" s="1" t="s">
        <v>10</v>
      </c>
      <c r="B12" s="1" t="s">
        <v>65</v>
      </c>
      <c r="C12" s="2">
        <v>3.5999999999999996</v>
      </c>
    </row>
    <row r="13" ht="14.25" customHeight="1">
      <c r="A13" s="1" t="s">
        <v>10</v>
      </c>
      <c r="B13" s="1" t="s">
        <v>66</v>
      </c>
      <c r="C13" s="2">
        <v>1.326</v>
      </c>
    </row>
    <row r="14" ht="14.25" customHeight="1">
      <c r="A14" s="1" t="s">
        <v>10</v>
      </c>
      <c r="B14" s="1" t="s">
        <v>67</v>
      </c>
      <c r="C14" s="2">
        <v>2.535</v>
      </c>
    </row>
    <row r="15" ht="14.25" customHeight="1">
      <c r="A15" s="1" t="s">
        <v>10</v>
      </c>
      <c r="B15" s="1" t="s">
        <v>75</v>
      </c>
      <c r="C15" s="2">
        <v>2.8000000000000003</v>
      </c>
    </row>
    <row r="16" ht="14.25" customHeight="1">
      <c r="A16" s="1" t="s">
        <v>10</v>
      </c>
      <c r="B16" s="1" t="s">
        <v>68</v>
      </c>
      <c r="C16" s="2">
        <v>1.595</v>
      </c>
    </row>
    <row r="17" ht="14.25" customHeight="1">
      <c r="A17" s="1" t="s">
        <v>10</v>
      </c>
      <c r="B17" s="1" t="s">
        <v>70</v>
      </c>
      <c r="C17" s="2">
        <v>3.003</v>
      </c>
    </row>
    <row r="18" ht="14.25" customHeight="1">
      <c r="A18" s="1" t="s">
        <v>10</v>
      </c>
      <c r="B18" s="1" t="s">
        <v>71</v>
      </c>
      <c r="C18" s="2">
        <v>2.925</v>
      </c>
    </row>
    <row r="19" ht="14.25" customHeight="1">
      <c r="A19" s="1" t="s">
        <v>10</v>
      </c>
      <c r="B19" s="1" t="s">
        <v>73</v>
      </c>
      <c r="C19" s="2">
        <v>2.55</v>
      </c>
    </row>
    <row r="20" ht="14.25" customHeight="1">
      <c r="A20" s="1" t="s">
        <v>10</v>
      </c>
      <c r="B20" s="1" t="s">
        <v>74</v>
      </c>
      <c r="C20" s="2">
        <v>2.95</v>
      </c>
    </row>
    <row r="21" ht="14.25" customHeight="1">
      <c r="A21" s="1" t="s">
        <v>10</v>
      </c>
      <c r="B21" s="1" t="s">
        <v>72</v>
      </c>
      <c r="C21" s="2">
        <v>2.379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9.88"/>
    <col customWidth="1" min="3" max="26" width="8.63"/>
  </cols>
  <sheetData>
    <row r="1" ht="14.25" customHeight="1">
      <c r="A1" s="1" t="s">
        <v>1</v>
      </c>
      <c r="B1" s="1" t="s">
        <v>76</v>
      </c>
    </row>
    <row r="2" ht="14.25" customHeight="1">
      <c r="A2" s="1" t="s">
        <v>65</v>
      </c>
      <c r="B2" s="1">
        <v>0.6</v>
      </c>
    </row>
    <row r="3" ht="14.25" customHeight="1">
      <c r="A3" s="1" t="s">
        <v>66</v>
      </c>
      <c r="B3" s="1">
        <v>0.29</v>
      </c>
    </row>
    <row r="4" ht="14.25" customHeight="1">
      <c r="A4" s="1" t="s">
        <v>67</v>
      </c>
      <c r="B4" s="1">
        <v>0.58</v>
      </c>
    </row>
    <row r="5" ht="14.25" customHeight="1">
      <c r="A5" s="1" t="s">
        <v>68</v>
      </c>
      <c r="B5" s="1">
        <v>0.45</v>
      </c>
    </row>
    <row r="6" ht="14.25" customHeight="1">
      <c r="A6" s="1" t="s">
        <v>69</v>
      </c>
      <c r="B6" s="1">
        <v>0.51</v>
      </c>
    </row>
    <row r="7" ht="14.25" customHeight="1">
      <c r="A7" s="1" t="s">
        <v>70</v>
      </c>
      <c r="B7" s="1">
        <v>0.35</v>
      </c>
    </row>
    <row r="8" ht="14.25" customHeight="1">
      <c r="A8" s="1" t="s">
        <v>71</v>
      </c>
      <c r="B8" s="1">
        <v>0.39</v>
      </c>
    </row>
    <row r="9" ht="14.25" customHeight="1">
      <c r="A9" s="1" t="s">
        <v>72</v>
      </c>
      <c r="B9" s="1">
        <v>0.38</v>
      </c>
    </row>
    <row r="10" ht="14.25" customHeight="1">
      <c r="A10" s="1" t="s">
        <v>73</v>
      </c>
      <c r="B10" s="1">
        <v>0.36</v>
      </c>
    </row>
    <row r="11" ht="14.25" customHeight="1">
      <c r="A11" s="1" t="s">
        <v>74</v>
      </c>
      <c r="B11" s="1">
        <v>0.42</v>
      </c>
    </row>
    <row r="12" ht="14.25" customHeight="1">
      <c r="A12" s="1" t="s">
        <v>75</v>
      </c>
      <c r="B12" s="1">
        <v>0.35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2026-01-19T22:37:24Z</dcterms:created>
  <dc:creator>Venugopal Premavathi</dc:creator>
</cp:coreProperties>
</file>